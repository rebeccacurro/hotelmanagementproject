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qmulprod-my.sharepoint.com/personal/bs24180_qmul_ac_uk/Documents/"/>
    </mc:Choice>
  </mc:AlternateContent>
  <xr:revisionPtr revIDLastSave="0" documentId="14_{57969B6F-FBBE-4E28-BCEC-10CAECAF0838}" xr6:coauthVersionLast="47" xr6:coauthVersionMax="47" xr10:uidLastSave="{00000000-0000-0000-0000-000000000000}"/>
  <bookViews>
    <workbookView xWindow="6960" yWindow="0" windowWidth="19905" windowHeight="15585" xr2:uid="{61762CF8-C324-0341-AA4B-6255741DB777}"/>
  </bookViews>
  <sheets>
    <sheet name="Booking Form" sheetId="5" r:id="rId1"/>
    <sheet name="New Guest Form" sheetId="11" r:id="rId2"/>
    <sheet name="Rooms" sheetId="7" r:id="rId3"/>
    <sheet name="Bookings" sheetId="6" r:id="rId4"/>
    <sheet name="Guests" sheetId="1" r:id="rId5"/>
    <sheet name="Database" sheetId="14" state="hidden" r:id="rId6"/>
  </sheets>
  <definedNames>
    <definedName name="AllBookings">Bookings!$A$2:$G$158</definedName>
    <definedName name="BookingBID">Bookings!$A:$A</definedName>
    <definedName name="BookingBookingID">'Booking Form'!$C$4</definedName>
    <definedName name="BookingCheckInDate">'Booking Form'!$C$7</definedName>
    <definedName name="BookingCheckOutDate">'Booking Form'!$C$8</definedName>
    <definedName name="BookingGuestID">'Booking Form'!$C$5</definedName>
    <definedName name="BookingID">'Booking Form'!$C$4</definedName>
    <definedName name="BookingPaymentStatus">'Booking Form'!$C$9</definedName>
    <definedName name="BookingRoomID">'Booking Form'!$C$6</definedName>
    <definedName name="Bookings">#REF!</definedName>
    <definedName name="BookingsCID">Bookings!$D:$D</definedName>
    <definedName name="BookingsCOD">Bookings!$E:$E</definedName>
    <definedName name="BookingsGID">Bookings!$B:$B</definedName>
    <definedName name="BookingsPS">Bookings!$F:$F</definedName>
    <definedName name="BookingsRID">Bookings!$C:$C</definedName>
    <definedName name="BookingsTC">Bookings!$G:$G</definedName>
    <definedName name="BookingTotalCost">'Booking Form'!$C$10</definedName>
    <definedName name="Customers">Guests!$B$1:$M$15</definedName>
    <definedName name="GuestEmail">'New Guest Form'!$C$5</definedName>
    <definedName name="GuestID">'New Guest Form'!$C$7</definedName>
    <definedName name="GuestName">'New Guest Form'!$C$4</definedName>
    <definedName name="GuestPhone">'New Guest Form'!$C$6</definedName>
    <definedName name="Guests">#REF!</definedName>
    <definedName name="GuestsEmail">Guests!$C:$C</definedName>
    <definedName name="GuestsGuestID">Guests!$A:$A</definedName>
    <definedName name="GuestsGuestName">Guests!$B:$B</definedName>
    <definedName name="Overview">Guests!$B$1:$M$13</definedName>
    <definedName name="RoomCosts">#REF!</definedName>
    <definedName name="RoomIDs">#REF!</definedName>
    <definedName name="RoomsRatePerNight">Rooms!$C:$C</definedName>
    <definedName name="RoomsRoomID">Rooms!$A:$A</definedName>
    <definedName name="RoomsRoomType">Rooms!$B:$B</definedName>
    <definedName name="RoomTypes">#REF!</definedName>
    <definedName name="Table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5" l="1"/>
</calcChain>
</file>

<file path=xl/sharedStrings.xml><?xml version="1.0" encoding="utf-8"?>
<sst xmlns="http://schemas.openxmlformats.org/spreadsheetml/2006/main" count="94" uniqueCount="62">
  <si>
    <t>Email</t>
  </si>
  <si>
    <t>Brett Reid</t>
  </si>
  <si>
    <t>BookingID</t>
  </si>
  <si>
    <t>Abby Curro</t>
  </si>
  <si>
    <t>Rachel Ziemba</t>
  </si>
  <si>
    <t>Marissa Brown</t>
  </si>
  <si>
    <t>Abby Lord</t>
  </si>
  <si>
    <t>Alex Ryan</t>
  </si>
  <si>
    <t>Paid</t>
  </si>
  <si>
    <t>Pending</t>
  </si>
  <si>
    <t>Brittney Wright</t>
  </si>
  <si>
    <t>Nicole Conncanon</t>
  </si>
  <si>
    <t>Austin Reid</t>
  </si>
  <si>
    <t>Paige Hurley</t>
  </si>
  <si>
    <t>GuestID</t>
  </si>
  <si>
    <t>New Booking Form</t>
  </si>
  <si>
    <t>Guest Name</t>
  </si>
  <si>
    <t>Payment Status</t>
  </si>
  <si>
    <t>RoomID</t>
  </si>
  <si>
    <t>RoomType</t>
  </si>
  <si>
    <t>RatePerNight</t>
  </si>
  <si>
    <t>King</t>
  </si>
  <si>
    <t>Two Double</t>
  </si>
  <si>
    <t>Twin</t>
  </si>
  <si>
    <t>CheckInDate</t>
  </si>
  <si>
    <t>CheckOutDate</t>
  </si>
  <si>
    <t>PaymentStatus</t>
  </si>
  <si>
    <t>Not Paid</t>
  </si>
  <si>
    <t>TotalCost</t>
  </si>
  <si>
    <t>GuestName</t>
  </si>
  <si>
    <t>New Guest Form</t>
  </si>
  <si>
    <t>Guest Email</t>
  </si>
  <si>
    <t>Guest Phone</t>
  </si>
  <si>
    <t>Will Ryan</t>
  </si>
  <si>
    <t>Booking ID</t>
  </si>
  <si>
    <t>Guest ID</t>
  </si>
  <si>
    <t>Room ID</t>
  </si>
  <si>
    <t>Total Cost</t>
  </si>
  <si>
    <t>Check In Date</t>
  </si>
  <si>
    <t>Check Out Date</t>
  </si>
  <si>
    <t>Steve Curro</t>
  </si>
  <si>
    <t>Ella Rose</t>
  </si>
  <si>
    <t>Remi Bader</t>
  </si>
  <si>
    <t>brettdreid@gmail.com#mailto:brettdreid@gmail.com#</t>
  </si>
  <si>
    <t>abbycurro@gmail.com#mailto:abbycurro@gmail.com#</t>
  </si>
  <si>
    <t>rachelziemba@gmail.com#mailto:rachelziemba@gmail.c</t>
  </si>
  <si>
    <t>austinreid@gmail.com#mailto:austinreid@gmail.com#</t>
  </si>
  <si>
    <t>marissabrown@gmail.com#mailto:marissabrown@gmail.c</t>
  </si>
  <si>
    <t>abbylord@gmail.com#mailto:abbylord@gmail.com#</t>
  </si>
  <si>
    <t>alexryan@gmail.com#mailto:alexryan@gmail.com#</t>
  </si>
  <si>
    <t>brittneywright@gmail.com#mailto:brittneywright@gma</t>
  </si>
  <si>
    <t>nicoleconcannon@gmail.com#mailto:nicoleconcannon@g</t>
  </si>
  <si>
    <t>paigehurley@gmail.com#mailto:paigehurley@gmail.com</t>
  </si>
  <si>
    <t>willryan@gmail.com#mailto:willryan@gmail.com#</t>
  </si>
  <si>
    <t>stevecurro@gmail.com#mailto:stevecurro@gmail.com#</t>
  </si>
  <si>
    <t>ellarose@gmail.com#mailto:ellarose@gmail.com#</t>
  </si>
  <si>
    <t>remibader@gmail.com#mailto:remibader@gmail.com#</t>
  </si>
  <si>
    <t>C:\Users\bs24180\OneDrive - Queen Mary, University of London\Documents\RebeccaCurroP2.accdb</t>
  </si>
  <si>
    <t>Abby Caitlin</t>
  </si>
  <si>
    <t>abbycaitlin@gmail.com</t>
  </si>
  <si>
    <t>Ellie Ronan</t>
  </si>
  <si>
    <t>ellieronan@gmail.com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</si>
</sst>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7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u/>
      <sz val="12"/>
      <color theme="10"/>
      <name val="Aptos Narrow"/>
      <family val="2"/>
      <scheme val="minor"/>
    </font>
    <font>
      <b/>
      <sz val="18"/>
      <color theme="1"/>
      <name val="Aptos Narrow (Body)"/>
    </font>
    <font>
      <b/>
      <sz val="1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2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quotePrefix="1"/>
    <xf numFmtId="38" fontId="0" fillId="0" borderId="0" xfId="0" applyNumberFormat="1"/>
    <xf numFmtId="0" fontId="1" fillId="0" borderId="0" xfId="0" applyFont="1" applyFill="1"/>
    <xf numFmtId="14" fontId="0" fillId="0" borderId="0" xfId="0" applyNumberFormat="1" applyFill="1"/>
    <xf numFmtId="0" fontId="0" fillId="2" borderId="1" xfId="0" applyFill="1" applyBorder="1"/>
    <xf numFmtId="0" fontId="0" fillId="2" borderId="2" xfId="0" applyFill="1" applyBorder="1"/>
    <xf numFmtId="14" fontId="0" fillId="0" borderId="0" xfId="0" applyNumberFormat="1"/>
    <xf numFmtId="0" fontId="4" fillId="0" borderId="0" xfId="0" applyFont="1"/>
    <xf numFmtId="49" fontId="0" fillId="0" borderId="0" xfId="0" applyNumberFormat="1"/>
    <xf numFmtId="49" fontId="0" fillId="0" borderId="0" xfId="0" applyNumberFormat="1" applyFill="1"/>
    <xf numFmtId="1" fontId="0" fillId="0" borderId="0" xfId="0" applyNumberFormat="1"/>
    <xf numFmtId="1" fontId="0" fillId="0" borderId="0" xfId="0" applyNumberFormat="1" applyFill="1"/>
    <xf numFmtId="0" fontId="0" fillId="2" borderId="0" xfId="0" applyFill="1" applyBorder="1"/>
    <xf numFmtId="14" fontId="0" fillId="2" borderId="0" xfId="0" applyNumberFormat="1" applyFill="1" applyBorder="1"/>
    <xf numFmtId="0" fontId="0" fillId="0" borderId="0" xfId="0" applyBorder="1"/>
    <xf numFmtId="0" fontId="0" fillId="0" borderId="0" xfId="0" applyFill="1" applyBorder="1"/>
    <xf numFmtId="14" fontId="0" fillId="0" borderId="0" xfId="0" applyNumberFormat="1" applyFill="1" applyBorder="1"/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14" fontId="5" fillId="2" borderId="0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0" fillId="2" borderId="4" xfId="0" applyFill="1" applyBorder="1"/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 applyAlignment="1">
      <alignment horizontal="center" vertical="center"/>
    </xf>
    <xf numFmtId="14" fontId="3" fillId="2" borderId="0" xfId="0" applyNumberFormat="1" applyFont="1" applyFill="1" applyBorder="1" applyAlignment="1">
      <alignment horizontal="center" vertical="center"/>
    </xf>
    <xf numFmtId="49" fontId="2" fillId="2" borderId="0" xfId="1" applyNumberFormat="1" applyFill="1" applyBorder="1"/>
    <xf numFmtId="164" fontId="0" fillId="2" borderId="0" xfId="0" applyNumberFormat="1" applyFill="1" applyBorder="1" applyAlignment="1">
      <alignment horizontal="center" vertical="center"/>
    </xf>
    <xf numFmtId="1" fontId="0" fillId="2" borderId="0" xfId="0" applyNumberFormat="1" applyFill="1" applyBorder="1" applyAlignment="1">
      <alignment horizontal="center" vertical="center"/>
    </xf>
    <xf numFmtId="0" fontId="1" fillId="0" borderId="0" xfId="0" applyNumberFormat="1" applyFont="1" applyFill="1"/>
    <xf numFmtId="0" fontId="2" fillId="0" borderId="0" xfId="1" applyNumberFormat="1" applyFill="1"/>
    <xf numFmtId="0" fontId="0" fillId="0" borderId="0" xfId="0" applyNumberFormat="1" applyFill="1"/>
    <xf numFmtId="0" fontId="0" fillId="0" borderId="0" xfId="0" applyNumberFormat="1"/>
  </cellXfs>
  <cellStyles count="2">
    <cellStyle name="Hyperlink" xfId="1" builtinId="8"/>
    <cellStyle name="Normal" xfId="0" builtinId="0"/>
  </cellStyles>
  <dxfs count="6">
    <dxf>
      <fill>
        <patternFill>
          <bgColor rgb="FF57FFA3"/>
        </patternFill>
      </fill>
    </dxf>
    <dxf>
      <fill>
        <patternFill>
          <bgColor rgb="FFFF7D7D"/>
        </patternFill>
      </fill>
    </dxf>
    <dxf>
      <fill>
        <patternFill>
          <bgColor rgb="FFFFFD7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57FFA3"/>
      <color rgb="FFFFFD7F"/>
      <color rgb="FFFF7D7D"/>
      <color rgb="FFFF6A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10</xdr:row>
          <xdr:rowOff>171450</xdr:rowOff>
        </xdr:from>
        <xdr:to>
          <xdr:col>3</xdr:col>
          <xdr:colOff>400050</xdr:colOff>
          <xdr:row>12</xdr:row>
          <xdr:rowOff>152400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</xdr:row>
          <xdr:rowOff>19050</xdr:rowOff>
        </xdr:from>
        <xdr:to>
          <xdr:col>2</xdr:col>
          <xdr:colOff>771525</xdr:colOff>
          <xdr:row>10</xdr:row>
          <xdr:rowOff>19050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ellieronan@gmail.com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brittneywright@gmail.com" TargetMode="External"/><Relationship Id="rId13" Type="http://schemas.openxmlformats.org/officeDocument/2006/relationships/hyperlink" Target="mailto:ellarose@gmail.com" TargetMode="External"/><Relationship Id="rId3" Type="http://schemas.openxmlformats.org/officeDocument/2006/relationships/hyperlink" Target="mailto:rachelziemba@gmail.com" TargetMode="External"/><Relationship Id="rId7" Type="http://schemas.openxmlformats.org/officeDocument/2006/relationships/hyperlink" Target="mailto:alexryan@gmail.com" TargetMode="External"/><Relationship Id="rId12" Type="http://schemas.openxmlformats.org/officeDocument/2006/relationships/hyperlink" Target="mailto:stevecurro@gmail.com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mailto:abbycurro@gmail.com" TargetMode="External"/><Relationship Id="rId16" Type="http://schemas.openxmlformats.org/officeDocument/2006/relationships/hyperlink" Target="mailto:ellieronan@gmail.com" TargetMode="External"/><Relationship Id="rId1" Type="http://schemas.openxmlformats.org/officeDocument/2006/relationships/hyperlink" Target="mailto:brettdreid@gmail.com" TargetMode="External"/><Relationship Id="rId6" Type="http://schemas.openxmlformats.org/officeDocument/2006/relationships/hyperlink" Target="mailto:abbylord@gmail.com" TargetMode="External"/><Relationship Id="rId11" Type="http://schemas.openxmlformats.org/officeDocument/2006/relationships/hyperlink" Target="mailto:willryan@gmail.com" TargetMode="External"/><Relationship Id="rId5" Type="http://schemas.openxmlformats.org/officeDocument/2006/relationships/hyperlink" Target="mailto:marissabrown@gmail.com" TargetMode="External"/><Relationship Id="rId15" Type="http://schemas.openxmlformats.org/officeDocument/2006/relationships/hyperlink" Target="mailto:remibader@gmail.com#mailto:remibader@gmail.com#" TargetMode="External"/><Relationship Id="rId10" Type="http://schemas.openxmlformats.org/officeDocument/2006/relationships/hyperlink" Target="mailto:paigehurley@gmail.com" TargetMode="External"/><Relationship Id="rId4" Type="http://schemas.openxmlformats.org/officeDocument/2006/relationships/hyperlink" Target="mailto:austinreid@gmail.com" TargetMode="External"/><Relationship Id="rId9" Type="http://schemas.openxmlformats.org/officeDocument/2006/relationships/hyperlink" Target="mailto:nicoleconcannon@gmail.com" TargetMode="External"/><Relationship Id="rId14" Type="http://schemas.openxmlformats.org/officeDocument/2006/relationships/hyperlink" Target="mailto:remibader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5C76B-11DC-5D49-8068-87E17C75B29D}">
  <sheetPr codeName="Sheet1"/>
  <dimension ref="A1:P132"/>
  <sheetViews>
    <sheetView tabSelected="1" workbookViewId="0">
      <selection activeCell="F17" sqref="F17"/>
    </sheetView>
  </sheetViews>
  <sheetFormatPr defaultColWidth="11" defaultRowHeight="15.75"/>
  <cols>
    <col min="2" max="2" width="14.375" bestFit="1" customWidth="1"/>
  </cols>
  <sheetData>
    <row r="1" spans="1:16" ht="15.75" customHeight="1">
      <c r="A1" s="31" t="s">
        <v>15</v>
      </c>
      <c r="B1" s="32"/>
      <c r="C1" s="32"/>
      <c r="D1" s="32"/>
      <c r="E1" s="32"/>
      <c r="F1" s="33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ht="15.75" customHeight="1">
      <c r="A2" s="34"/>
      <c r="B2" s="35"/>
      <c r="C2" s="35"/>
      <c r="D2" s="41"/>
      <c r="E2" s="41"/>
      <c r="F2" s="36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15.75" customHeight="1">
      <c r="A3" s="34"/>
      <c r="B3" s="35"/>
      <c r="C3" s="35"/>
      <c r="D3" s="41"/>
      <c r="E3" s="41"/>
      <c r="F3" s="36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>
      <c r="A4" s="37"/>
      <c r="B4" s="38" t="s">
        <v>34</v>
      </c>
      <c r="C4" s="44">
        <v>26</v>
      </c>
      <c r="D4" s="40"/>
      <c r="E4" s="16"/>
      <c r="F4" s="8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>
      <c r="A5" s="37"/>
      <c r="B5" s="38" t="s">
        <v>35</v>
      </c>
      <c r="C5" s="39">
        <v>17</v>
      </c>
      <c r="D5" s="40"/>
      <c r="E5" s="16"/>
      <c r="F5" s="8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>
      <c r="A6" s="37"/>
      <c r="B6" s="38" t="s">
        <v>36</v>
      </c>
      <c r="C6" s="39">
        <v>5</v>
      </c>
      <c r="D6" s="40"/>
      <c r="E6" s="16"/>
      <c r="F6" s="8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>
      <c r="A7" s="37"/>
      <c r="B7" s="38" t="s">
        <v>38</v>
      </c>
      <c r="C7" s="40">
        <v>45751</v>
      </c>
      <c r="D7" s="40"/>
      <c r="E7" s="16"/>
      <c r="F7" s="8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>
      <c r="A8" s="37"/>
      <c r="B8" s="38" t="s">
        <v>39</v>
      </c>
      <c r="C8" s="40">
        <v>45752</v>
      </c>
      <c r="D8" s="40"/>
      <c r="E8" s="16"/>
      <c r="F8" s="8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>
      <c r="A9" s="37"/>
      <c r="B9" s="38" t="s">
        <v>17</v>
      </c>
      <c r="C9" s="39" t="s">
        <v>8</v>
      </c>
      <c r="D9" s="40"/>
      <c r="E9" s="16"/>
      <c r="F9" s="8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>
      <c r="A10" s="37"/>
      <c r="B10" s="38" t="s">
        <v>37</v>
      </c>
      <c r="C10" s="43">
        <f>(BookingCheckOutDate-BookingCheckInDate)*VLOOKUP(BookingRoomID,Rooms!A2:C11,3, TRUE)</f>
        <v>200</v>
      </c>
      <c r="D10" s="40"/>
      <c r="E10" s="16"/>
      <c r="F10" s="8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>
      <c r="A11" s="37"/>
      <c r="B11" s="39"/>
      <c r="C11" s="39"/>
      <c r="D11" s="40"/>
      <c r="E11" s="16"/>
      <c r="F11" s="8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>
      <c r="A12" s="37"/>
      <c r="B12" s="39"/>
      <c r="C12" s="39"/>
      <c r="D12" s="40"/>
      <c r="E12" s="16"/>
      <c r="F12" s="8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>
      <c r="A13" s="7"/>
      <c r="B13" s="15"/>
      <c r="C13" s="15"/>
      <c r="D13" s="16"/>
      <c r="E13" s="16"/>
      <c r="F13" s="8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ht="16.5" thickBot="1">
      <c r="A14" s="27"/>
      <c r="B14" s="28"/>
      <c r="C14" s="28"/>
      <c r="D14" s="29"/>
      <c r="E14" s="29"/>
      <c r="F14" s="30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>
      <c r="A15" s="2"/>
      <c r="B15" s="2"/>
      <c r="C15" s="2"/>
      <c r="D15" s="6"/>
      <c r="E15" s="6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>
      <c r="A16" s="2"/>
      <c r="B16" s="2"/>
      <c r="C16" s="2"/>
      <c r="D16" s="6"/>
      <c r="E16" s="6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>
      <c r="A17" s="2"/>
      <c r="B17" s="2"/>
      <c r="C17" s="2"/>
      <c r="D17" s="6"/>
      <c r="E17" s="6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>
      <c r="A18" s="2"/>
      <c r="B18" s="2"/>
      <c r="C18" s="2"/>
      <c r="D18" s="6"/>
      <c r="E18" s="6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>
      <c r="A19" s="2"/>
      <c r="B19" s="2"/>
      <c r="C19" s="2"/>
      <c r="D19" s="6"/>
      <c r="E19" s="6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>
      <c r="A20" s="2"/>
      <c r="B20" s="2"/>
      <c r="C20" s="2"/>
      <c r="D20" s="6"/>
      <c r="E20" s="6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>
      <c r="A21" s="2"/>
      <c r="B21" s="2"/>
      <c r="C21" s="2"/>
      <c r="D21" s="6"/>
      <c r="E21" s="6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>
      <c r="A22" s="2"/>
      <c r="B22" s="2"/>
      <c r="C22" s="2"/>
      <c r="D22" s="6"/>
      <c r="E22" s="6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>
      <c r="A23" s="2"/>
      <c r="B23" s="2"/>
      <c r="C23" s="2"/>
      <c r="D23" s="6"/>
      <c r="E23" s="6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</sheetData>
  <mergeCells count="1">
    <mergeCell ref="A1:F3"/>
  </mergeCells>
  <dataValidations count="3">
    <dataValidation type="date" allowBlank="1" showInputMessage="1" showErrorMessage="1" sqref="C7" xr:uid="{78A018CA-9532-C542-94FC-6898495F26BF}">
      <formula1>45681</formula1>
      <formula2>46046</formula2>
    </dataValidation>
    <dataValidation type="date" allowBlank="1" showInputMessage="1" showErrorMessage="1" sqref="C8" xr:uid="{7B11474B-DFFB-854E-BD7F-5F80C0BD45CF}">
      <formula1>45683</formula1>
      <formula2>46048</formula2>
    </dataValidation>
    <dataValidation type="list" allowBlank="1" showInputMessage="1" showErrorMessage="1" sqref="C5" xr:uid="{C6A1AE55-BD8A-DB49-95BE-52D61ECD902A}">
      <formula1>GuestsGuestID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4" name="Button 6">
              <controlPr defaultSize="0" print="0" autoFill="0" autoPict="0" macro="[0]!NewBookingForm.NewBookingForm">
                <anchor moveWithCells="1" sizeWithCells="1">
                  <from>
                    <xdr:col>2</xdr:col>
                    <xdr:colOff>76200</xdr:colOff>
                    <xdr:row>10</xdr:row>
                    <xdr:rowOff>171450</xdr:rowOff>
                  </from>
                  <to>
                    <xdr:col>3</xdr:col>
                    <xdr:colOff>400050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7B7A1B6-21BB-9845-8816-5934E2050D8E}">
          <x14:formula1>
            <xm:f>Rooms!$A$2:$A$11</xm:f>
          </x14:formula1>
          <xm:sqref>C6</xm:sqref>
        </x14:dataValidation>
        <x14:dataValidation type="list" allowBlank="1" showInputMessage="1" showErrorMessage="1" xr:uid="{0FBBAC7B-5697-4CF0-AF5B-C649D14DD464}">
          <x14:formula1>
            <xm:f>Bookings!$F$12:$F$14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F41EA-9AE7-4BF4-9014-BBF7F27DCB34}">
  <sheetPr codeName="Sheet7"/>
  <dimension ref="A1:G18"/>
  <sheetViews>
    <sheetView workbookViewId="0">
      <selection activeCell="C7" sqref="C7"/>
    </sheetView>
  </sheetViews>
  <sheetFormatPr defaultRowHeight="15.75"/>
  <cols>
    <col min="2" max="2" width="11" bestFit="1" customWidth="1"/>
    <col min="3" max="3" width="10.875" bestFit="1" customWidth="1"/>
  </cols>
  <sheetData>
    <row r="1" spans="1:7">
      <c r="A1" s="20" t="s">
        <v>30</v>
      </c>
      <c r="B1" s="21"/>
      <c r="C1" s="21"/>
      <c r="D1" s="21"/>
      <c r="E1" s="21"/>
      <c r="F1" s="22"/>
    </row>
    <row r="2" spans="1:7">
      <c r="A2" s="23"/>
      <c r="B2" s="24"/>
      <c r="C2" s="24"/>
      <c r="D2" s="25"/>
      <c r="E2" s="25"/>
      <c r="F2" s="26"/>
    </row>
    <row r="3" spans="1:7">
      <c r="A3" s="23"/>
      <c r="B3" s="24"/>
      <c r="C3" s="24"/>
      <c r="D3" s="25"/>
      <c r="E3" s="25"/>
      <c r="F3" s="26"/>
    </row>
    <row r="4" spans="1:7">
      <c r="A4" s="7"/>
      <c r="B4" s="15" t="s">
        <v>16</v>
      </c>
      <c r="C4" s="15" t="s">
        <v>60</v>
      </c>
      <c r="D4" s="16"/>
      <c r="E4" s="16"/>
      <c r="F4" s="8"/>
    </row>
    <row r="5" spans="1:7">
      <c r="A5" s="7"/>
      <c r="B5" s="15" t="s">
        <v>31</v>
      </c>
      <c r="C5" s="42" t="s">
        <v>61</v>
      </c>
      <c r="D5" s="16"/>
      <c r="E5" s="16"/>
      <c r="F5" s="8"/>
    </row>
    <row r="6" spans="1:7">
      <c r="A6" s="7"/>
      <c r="B6" s="15" t="s">
        <v>32</v>
      </c>
      <c r="C6" s="15">
        <v>6789123456</v>
      </c>
      <c r="D6" s="16"/>
      <c r="E6" s="16"/>
      <c r="F6" s="8"/>
    </row>
    <row r="7" spans="1:7">
      <c r="A7" s="7"/>
      <c r="B7" s="15" t="s">
        <v>14</v>
      </c>
      <c r="C7" s="15">
        <v>18</v>
      </c>
      <c r="D7" s="16"/>
      <c r="E7" s="16"/>
      <c r="F7" s="8"/>
    </row>
    <row r="8" spans="1:7">
      <c r="A8" s="7"/>
      <c r="B8" s="15"/>
      <c r="C8" s="15"/>
      <c r="D8" s="16"/>
      <c r="E8" s="16"/>
      <c r="F8" s="8"/>
    </row>
    <row r="9" spans="1:7">
      <c r="A9" s="7"/>
      <c r="B9" s="15"/>
      <c r="C9" s="15"/>
      <c r="D9" s="16"/>
      <c r="E9" s="16"/>
      <c r="F9" s="8"/>
    </row>
    <row r="10" spans="1:7">
      <c r="A10" s="7"/>
      <c r="B10" s="15"/>
      <c r="C10" s="15"/>
      <c r="D10" s="16"/>
      <c r="E10" s="16"/>
      <c r="F10" s="8"/>
    </row>
    <row r="11" spans="1:7">
      <c r="A11" s="7"/>
      <c r="B11" s="15"/>
      <c r="C11" s="15"/>
      <c r="D11" s="16"/>
      <c r="E11" s="16"/>
      <c r="F11" s="8"/>
    </row>
    <row r="12" spans="1:7">
      <c r="A12" s="7"/>
      <c r="B12" s="15"/>
      <c r="C12" s="15"/>
      <c r="D12" s="16"/>
      <c r="E12" s="16"/>
      <c r="F12" s="8"/>
    </row>
    <row r="13" spans="1:7" ht="16.5" thickBot="1">
      <c r="A13" s="27"/>
      <c r="B13" s="28"/>
      <c r="C13" s="28"/>
      <c r="D13" s="29"/>
      <c r="E13" s="29"/>
      <c r="F13" s="30"/>
    </row>
    <row r="14" spans="1:7">
      <c r="A14" s="18"/>
      <c r="B14" s="18"/>
      <c r="C14" s="18"/>
      <c r="D14" s="19"/>
      <c r="E14" s="19"/>
      <c r="F14" s="18"/>
      <c r="G14" s="18"/>
    </row>
    <row r="15" spans="1:7">
      <c r="A15" s="18"/>
      <c r="B15" s="18"/>
      <c r="C15" s="18"/>
      <c r="D15" s="19"/>
      <c r="E15" s="19"/>
      <c r="F15" s="18"/>
      <c r="G15" s="18"/>
    </row>
    <row r="16" spans="1:7">
      <c r="A16" s="18"/>
      <c r="B16" s="18"/>
      <c r="C16" s="18"/>
      <c r="D16" s="19"/>
      <c r="E16" s="19"/>
      <c r="F16" s="18"/>
      <c r="G16" s="18"/>
    </row>
    <row r="17" spans="1:7">
      <c r="A17" s="18"/>
      <c r="B17" s="18"/>
      <c r="C17" s="18"/>
      <c r="D17" s="18"/>
      <c r="E17" s="18"/>
      <c r="F17" s="18"/>
      <c r="G17" s="18"/>
    </row>
    <row r="18" spans="1:7">
      <c r="A18" s="17"/>
      <c r="B18" s="17"/>
      <c r="C18" s="17"/>
      <c r="D18" s="17"/>
      <c r="E18" s="17"/>
      <c r="F18" s="17"/>
      <c r="G18" s="17"/>
    </row>
  </sheetData>
  <mergeCells count="1">
    <mergeCell ref="A1:F3"/>
  </mergeCells>
  <hyperlinks>
    <hyperlink ref="C5" r:id="rId1" xr:uid="{3266727F-1A30-43DE-A0EB-AF1AD9D1AA7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GuestForm">
                <anchor moveWithCells="1" sizeWithCells="1">
                  <from>
                    <xdr:col>2</xdr:col>
                    <xdr:colOff>66675</xdr:colOff>
                    <xdr:row>8</xdr:row>
                    <xdr:rowOff>19050</xdr:rowOff>
                  </from>
                  <to>
                    <xdr:col>2</xdr:col>
                    <xdr:colOff>771525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614B7-FC71-AD42-AC56-1C354AE3A32B}">
  <sheetPr codeName="Sheet3"/>
  <dimension ref="A1:D12"/>
  <sheetViews>
    <sheetView workbookViewId="0">
      <selection activeCell="C1" sqref="C1:C1048576"/>
    </sheetView>
  </sheetViews>
  <sheetFormatPr defaultColWidth="11" defaultRowHeight="15.75"/>
  <cols>
    <col min="3" max="3" width="12" bestFit="1" customWidth="1"/>
  </cols>
  <sheetData>
    <row r="1" spans="1:4">
      <c r="A1" s="10" t="s">
        <v>18</v>
      </c>
      <c r="B1" s="10" t="s">
        <v>19</v>
      </c>
      <c r="C1" s="10" t="s">
        <v>20</v>
      </c>
    </row>
    <row r="2" spans="1:4">
      <c r="A2">
        <v>1</v>
      </c>
      <c r="B2" t="s">
        <v>21</v>
      </c>
      <c r="C2">
        <v>250</v>
      </c>
      <c r="D2" s="9"/>
    </row>
    <row r="3" spans="1:4">
      <c r="A3">
        <v>2</v>
      </c>
      <c r="B3" t="s">
        <v>21</v>
      </c>
      <c r="C3">
        <v>250</v>
      </c>
      <c r="D3" s="9"/>
    </row>
    <row r="4" spans="1:4">
      <c r="A4">
        <v>3</v>
      </c>
      <c r="B4" t="s">
        <v>21</v>
      </c>
      <c r="C4">
        <v>250</v>
      </c>
      <c r="D4" s="9"/>
    </row>
    <row r="5" spans="1:4">
      <c r="A5">
        <v>4</v>
      </c>
      <c r="B5" t="s">
        <v>21</v>
      </c>
      <c r="C5">
        <v>250</v>
      </c>
      <c r="D5" s="9"/>
    </row>
    <row r="6" spans="1:4">
      <c r="A6">
        <v>5</v>
      </c>
      <c r="B6" t="s">
        <v>22</v>
      </c>
      <c r="C6">
        <v>200</v>
      </c>
      <c r="D6" s="9"/>
    </row>
    <row r="7" spans="1:4">
      <c r="A7">
        <v>6</v>
      </c>
      <c r="B7" t="s">
        <v>22</v>
      </c>
      <c r="C7">
        <v>200</v>
      </c>
      <c r="D7" s="9"/>
    </row>
    <row r="8" spans="1:4">
      <c r="A8">
        <v>7</v>
      </c>
      <c r="B8" t="s">
        <v>22</v>
      </c>
      <c r="C8">
        <v>200</v>
      </c>
      <c r="D8" s="9"/>
    </row>
    <row r="9" spans="1:4">
      <c r="A9">
        <v>8</v>
      </c>
      <c r="B9" t="s">
        <v>22</v>
      </c>
      <c r="C9">
        <v>200</v>
      </c>
      <c r="D9" s="9"/>
    </row>
    <row r="10" spans="1:4">
      <c r="A10">
        <v>9</v>
      </c>
      <c r="B10" t="s">
        <v>23</v>
      </c>
      <c r="C10">
        <v>100</v>
      </c>
      <c r="D10" s="9"/>
    </row>
    <row r="11" spans="1:4">
      <c r="A11">
        <v>10</v>
      </c>
      <c r="B11" t="s">
        <v>23</v>
      </c>
      <c r="C11">
        <v>100</v>
      </c>
      <c r="D11" s="9"/>
    </row>
    <row r="12" spans="1:4">
      <c r="A12" s="3"/>
      <c r="C12" s="4"/>
      <c r="D12" s="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5D79E-1A62-114E-BC93-A2200C5F6C3D}">
  <sheetPr codeName="Sheet4"/>
  <dimension ref="A1:G23"/>
  <sheetViews>
    <sheetView workbookViewId="0">
      <selection activeCell="J20" sqref="J20"/>
    </sheetView>
  </sheetViews>
  <sheetFormatPr defaultColWidth="11" defaultRowHeight="15.75"/>
  <cols>
    <col min="4" max="4" width="11.875" bestFit="1" customWidth="1"/>
    <col min="5" max="6" width="13.375" bestFit="1" customWidth="1"/>
    <col min="7" max="7" width="13.25" bestFit="1" customWidth="1"/>
  </cols>
  <sheetData>
    <row r="1" spans="1:7" s="10" customFormat="1">
      <c r="A1" s="10" t="s">
        <v>2</v>
      </c>
      <c r="B1" s="10" t="s">
        <v>14</v>
      </c>
      <c r="C1" s="10" t="s">
        <v>18</v>
      </c>
      <c r="D1" s="10" t="s">
        <v>24</v>
      </c>
      <c r="E1" s="10" t="s">
        <v>25</v>
      </c>
      <c r="F1" s="10" t="s">
        <v>26</v>
      </c>
      <c r="G1" s="10" t="s">
        <v>28</v>
      </c>
    </row>
    <row r="2" spans="1:7">
      <c r="A2">
        <v>1</v>
      </c>
      <c r="B2">
        <v>10</v>
      </c>
      <c r="C2">
        <v>5</v>
      </c>
      <c r="D2" s="9">
        <v>45413</v>
      </c>
      <c r="E2" s="9">
        <v>45415</v>
      </c>
      <c r="F2" t="s">
        <v>8</v>
      </c>
      <c r="G2">
        <v>400</v>
      </c>
    </row>
    <row r="3" spans="1:7">
      <c r="A3">
        <v>2</v>
      </c>
      <c r="B3">
        <v>9</v>
      </c>
      <c r="C3">
        <v>6</v>
      </c>
      <c r="D3" s="9">
        <v>45432</v>
      </c>
      <c r="E3" s="9">
        <v>45437</v>
      </c>
      <c r="F3" t="s">
        <v>8</v>
      </c>
      <c r="G3">
        <v>1000</v>
      </c>
    </row>
    <row r="4" spans="1:7">
      <c r="A4">
        <v>3</v>
      </c>
      <c r="B4">
        <v>8</v>
      </c>
      <c r="C4">
        <v>7</v>
      </c>
      <c r="D4" s="9">
        <v>45467</v>
      </c>
      <c r="E4" s="9">
        <v>45470</v>
      </c>
      <c r="F4" t="s">
        <v>9</v>
      </c>
      <c r="G4">
        <v>600</v>
      </c>
    </row>
    <row r="5" spans="1:7">
      <c r="A5">
        <v>4</v>
      </c>
      <c r="B5">
        <v>7</v>
      </c>
      <c r="C5">
        <v>8</v>
      </c>
      <c r="D5" s="9">
        <v>45470</v>
      </c>
      <c r="E5" s="9">
        <v>45471</v>
      </c>
      <c r="F5" t="s">
        <v>8</v>
      </c>
      <c r="G5">
        <v>200</v>
      </c>
    </row>
    <row r="6" spans="1:7">
      <c r="A6">
        <v>5</v>
      </c>
      <c r="B6">
        <v>6</v>
      </c>
      <c r="C6">
        <v>9</v>
      </c>
      <c r="D6" s="9">
        <v>45494</v>
      </c>
      <c r="E6" s="9">
        <v>45495</v>
      </c>
      <c r="F6" t="s">
        <v>27</v>
      </c>
      <c r="G6">
        <v>100</v>
      </c>
    </row>
    <row r="7" spans="1:7">
      <c r="A7">
        <v>6</v>
      </c>
      <c r="B7">
        <v>5</v>
      </c>
      <c r="C7">
        <v>10</v>
      </c>
      <c r="D7" s="9">
        <v>45497</v>
      </c>
      <c r="E7" s="9">
        <v>45500</v>
      </c>
      <c r="F7" t="s">
        <v>27</v>
      </c>
      <c r="G7">
        <v>300</v>
      </c>
    </row>
    <row r="8" spans="1:7">
      <c r="A8">
        <v>7</v>
      </c>
      <c r="B8">
        <v>4</v>
      </c>
      <c r="C8">
        <v>1</v>
      </c>
      <c r="D8" s="9">
        <v>45505</v>
      </c>
      <c r="E8" s="9">
        <v>45507</v>
      </c>
      <c r="F8" t="s">
        <v>8</v>
      </c>
      <c r="G8">
        <v>500</v>
      </c>
    </row>
    <row r="9" spans="1:7">
      <c r="A9">
        <v>8</v>
      </c>
      <c r="B9">
        <v>3</v>
      </c>
      <c r="C9">
        <v>2</v>
      </c>
      <c r="D9" s="9">
        <v>45507</v>
      </c>
      <c r="E9" s="9">
        <v>45509</v>
      </c>
      <c r="F9" t="s">
        <v>8</v>
      </c>
      <c r="G9">
        <v>500</v>
      </c>
    </row>
    <row r="10" spans="1:7">
      <c r="A10">
        <v>9</v>
      </c>
      <c r="B10">
        <v>2</v>
      </c>
      <c r="C10">
        <v>3</v>
      </c>
      <c r="D10" s="9">
        <v>45519</v>
      </c>
      <c r="E10" s="9">
        <v>45521</v>
      </c>
      <c r="F10" t="s">
        <v>8</v>
      </c>
      <c r="G10">
        <v>500</v>
      </c>
    </row>
    <row r="11" spans="1:7">
      <c r="A11">
        <v>10</v>
      </c>
      <c r="B11">
        <v>1</v>
      </c>
      <c r="C11">
        <v>4</v>
      </c>
      <c r="D11" s="9">
        <v>45521</v>
      </c>
      <c r="E11" s="9">
        <v>45531</v>
      </c>
      <c r="F11" t="s">
        <v>9</v>
      </c>
      <c r="G11">
        <v>2500</v>
      </c>
    </row>
    <row r="12" spans="1:7">
      <c r="A12">
        <v>11</v>
      </c>
      <c r="B12">
        <v>10</v>
      </c>
      <c r="C12">
        <v>5</v>
      </c>
      <c r="D12" s="9">
        <v>45524</v>
      </c>
      <c r="E12" s="9">
        <v>45530</v>
      </c>
      <c r="F12" t="s">
        <v>9</v>
      </c>
      <c r="G12">
        <v>1400</v>
      </c>
    </row>
    <row r="13" spans="1:7">
      <c r="A13">
        <v>12</v>
      </c>
      <c r="B13">
        <v>9</v>
      </c>
      <c r="C13">
        <v>6</v>
      </c>
      <c r="D13" s="9">
        <v>45528</v>
      </c>
      <c r="E13" s="9">
        <v>45530</v>
      </c>
      <c r="F13" t="s">
        <v>27</v>
      </c>
      <c r="G13">
        <v>400</v>
      </c>
    </row>
    <row r="14" spans="1:7">
      <c r="A14">
        <v>13</v>
      </c>
      <c r="B14">
        <v>8</v>
      </c>
      <c r="C14">
        <v>7</v>
      </c>
      <c r="D14" s="9">
        <v>45529</v>
      </c>
      <c r="E14" s="9">
        <v>45531</v>
      </c>
      <c r="F14" t="s">
        <v>8</v>
      </c>
      <c r="G14">
        <v>400</v>
      </c>
    </row>
    <row r="15" spans="1:7">
      <c r="A15">
        <v>14</v>
      </c>
      <c r="B15">
        <v>7</v>
      </c>
      <c r="C15">
        <v>8</v>
      </c>
      <c r="D15" s="9">
        <v>45536</v>
      </c>
      <c r="E15" s="9">
        <v>45538</v>
      </c>
      <c r="F15" t="s">
        <v>8</v>
      </c>
      <c r="G15">
        <v>400</v>
      </c>
    </row>
    <row r="16" spans="1:7">
      <c r="A16">
        <v>15</v>
      </c>
      <c r="B16">
        <v>6</v>
      </c>
      <c r="C16">
        <v>9</v>
      </c>
      <c r="D16" s="9">
        <v>45568</v>
      </c>
      <c r="E16" s="9">
        <v>45570</v>
      </c>
      <c r="F16" t="s">
        <v>27</v>
      </c>
      <c r="G16">
        <v>200</v>
      </c>
    </row>
    <row r="17" spans="1:7">
      <c r="A17">
        <v>16</v>
      </c>
      <c r="B17">
        <v>5</v>
      </c>
      <c r="C17">
        <v>10</v>
      </c>
      <c r="D17" s="9">
        <v>45580</v>
      </c>
      <c r="E17" s="9">
        <v>45585</v>
      </c>
      <c r="F17" t="s">
        <v>27</v>
      </c>
      <c r="G17">
        <v>500</v>
      </c>
    </row>
    <row r="18" spans="1:7">
      <c r="A18">
        <v>17</v>
      </c>
      <c r="B18">
        <v>4</v>
      </c>
      <c r="C18">
        <v>1</v>
      </c>
      <c r="D18" s="9">
        <v>45597</v>
      </c>
      <c r="E18" s="9">
        <v>45601</v>
      </c>
      <c r="F18" t="s">
        <v>9</v>
      </c>
      <c r="G18">
        <v>1000</v>
      </c>
    </row>
    <row r="19" spans="1:7">
      <c r="A19">
        <v>18</v>
      </c>
      <c r="B19">
        <v>3</v>
      </c>
      <c r="C19">
        <v>2</v>
      </c>
      <c r="D19" s="9">
        <v>45611</v>
      </c>
      <c r="E19" s="9">
        <v>45612</v>
      </c>
      <c r="F19" t="s">
        <v>8</v>
      </c>
      <c r="G19">
        <v>250</v>
      </c>
    </row>
    <row r="20" spans="1:7">
      <c r="A20">
        <v>19</v>
      </c>
      <c r="B20">
        <v>2</v>
      </c>
      <c r="C20">
        <v>3</v>
      </c>
      <c r="D20" s="9">
        <v>45621</v>
      </c>
      <c r="E20" s="9">
        <v>45626</v>
      </c>
      <c r="F20" t="s">
        <v>8</v>
      </c>
      <c r="G20">
        <v>1250</v>
      </c>
    </row>
    <row r="21" spans="1:7">
      <c r="A21">
        <v>20</v>
      </c>
      <c r="B21">
        <v>1</v>
      </c>
      <c r="C21">
        <v>4</v>
      </c>
      <c r="D21" s="9">
        <v>45627</v>
      </c>
      <c r="E21" s="9">
        <v>45629</v>
      </c>
      <c r="F21" t="s">
        <v>8</v>
      </c>
      <c r="G21">
        <v>500</v>
      </c>
    </row>
    <row r="22" spans="1:7">
      <c r="A22">
        <v>25</v>
      </c>
      <c r="B22">
        <v>1</v>
      </c>
      <c r="C22">
        <v>3</v>
      </c>
      <c r="D22" s="9">
        <v>45779</v>
      </c>
      <c r="E22" s="9">
        <v>45781</v>
      </c>
      <c r="F22" t="s">
        <v>9</v>
      </c>
      <c r="G22">
        <v>500</v>
      </c>
    </row>
    <row r="23" spans="1:7">
      <c r="A23">
        <v>26</v>
      </c>
      <c r="B23">
        <v>17</v>
      </c>
      <c r="C23">
        <v>5</v>
      </c>
      <c r="D23" s="9">
        <v>45751</v>
      </c>
      <c r="E23" s="9">
        <v>45752</v>
      </c>
      <c r="F23" t="s">
        <v>8</v>
      </c>
      <c r="G23">
        <v>200</v>
      </c>
    </row>
  </sheetData>
  <conditionalFormatting sqref="A2:G158">
    <cfRule type="expression" dxfId="1" priority="3">
      <formula>$F2="Not Paid"</formula>
    </cfRule>
    <cfRule type="expression" dxfId="2" priority="2">
      <formula>$F2="Pending"</formula>
    </cfRule>
    <cfRule type="expression" dxfId="0" priority="1">
      <formula>$F2="Paid"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0CC0C-05BB-1046-8122-C6413987F867}">
  <sheetPr codeName="Sheet5"/>
  <dimension ref="A1:T90"/>
  <sheetViews>
    <sheetView workbookViewId="0">
      <selection activeCell="C16" sqref="C16"/>
    </sheetView>
  </sheetViews>
  <sheetFormatPr defaultColWidth="11" defaultRowHeight="15.75"/>
  <cols>
    <col min="2" max="2" width="16.375" bestFit="1" customWidth="1"/>
    <col min="3" max="3" width="49.625" style="48" bestFit="1" customWidth="1"/>
    <col min="4" max="4" width="25.625" bestFit="1" customWidth="1"/>
    <col min="5" max="5" width="10.875" bestFit="1" customWidth="1"/>
    <col min="7" max="7" width="12.625" bestFit="1" customWidth="1"/>
    <col min="8" max="8" width="14.125" bestFit="1" customWidth="1"/>
    <col min="9" max="9" width="15.625" bestFit="1" customWidth="1"/>
    <col min="11" max="11" width="13.125" bestFit="1" customWidth="1"/>
    <col min="12" max="12" width="13.125" customWidth="1"/>
  </cols>
  <sheetData>
    <row r="1" spans="1:20" s="1" customFormat="1">
      <c r="A1" s="5" t="s">
        <v>14</v>
      </c>
      <c r="B1" s="5" t="s">
        <v>29</v>
      </c>
      <c r="C1" s="45" t="s">
        <v>0</v>
      </c>
      <c r="D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>
      <c r="A2" s="13">
        <v>1</v>
      </c>
      <c r="B2" s="11" t="s">
        <v>1</v>
      </c>
      <c r="C2" s="46" t="s">
        <v>43</v>
      </c>
      <c r="D2" s="9"/>
      <c r="E2" s="9"/>
      <c r="G2" s="6"/>
      <c r="H2" s="6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>
      <c r="A3" s="13">
        <v>2</v>
      </c>
      <c r="B3" s="11" t="s">
        <v>3</v>
      </c>
      <c r="C3" s="46" t="s">
        <v>44</v>
      </c>
      <c r="D3" s="9"/>
      <c r="E3" s="9"/>
      <c r="G3" s="6"/>
      <c r="H3" s="6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>
      <c r="A4" s="13">
        <v>3</v>
      </c>
      <c r="B4" s="11" t="s">
        <v>4</v>
      </c>
      <c r="C4" s="46" t="s">
        <v>45</v>
      </c>
      <c r="D4" s="9"/>
      <c r="E4" s="9"/>
      <c r="G4" s="6"/>
      <c r="H4" s="6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>
      <c r="A5" s="13">
        <v>4</v>
      </c>
      <c r="B5" s="11" t="s">
        <v>12</v>
      </c>
      <c r="C5" s="46" t="s">
        <v>46</v>
      </c>
      <c r="D5" s="9"/>
      <c r="E5" s="9"/>
      <c r="G5" s="6"/>
      <c r="H5" s="6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>
      <c r="A6" s="13">
        <v>5</v>
      </c>
      <c r="B6" s="11" t="s">
        <v>5</v>
      </c>
      <c r="C6" s="46" t="s">
        <v>47</v>
      </c>
      <c r="D6" s="9"/>
      <c r="E6" s="9"/>
      <c r="G6" s="6"/>
      <c r="H6" s="6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>
      <c r="A7" s="13">
        <v>6</v>
      </c>
      <c r="B7" s="11" t="s">
        <v>6</v>
      </c>
      <c r="C7" s="46" t="s">
        <v>48</v>
      </c>
      <c r="D7" s="9"/>
      <c r="E7" s="9"/>
      <c r="G7" s="6"/>
      <c r="H7" s="6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>
      <c r="A8" s="13">
        <v>7</v>
      </c>
      <c r="B8" s="11" t="s">
        <v>7</v>
      </c>
      <c r="C8" s="46" t="s">
        <v>49</v>
      </c>
      <c r="D8" s="9"/>
      <c r="E8" s="9"/>
      <c r="G8" s="6"/>
      <c r="H8" s="6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>
      <c r="A9" s="13">
        <v>8</v>
      </c>
      <c r="B9" s="11" t="s">
        <v>10</v>
      </c>
      <c r="C9" s="46" t="s">
        <v>50</v>
      </c>
      <c r="D9" s="9"/>
      <c r="E9" s="9"/>
      <c r="G9" s="6"/>
      <c r="H9" s="6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>
      <c r="A10" s="13">
        <v>9</v>
      </c>
      <c r="B10" s="11" t="s">
        <v>11</v>
      </c>
      <c r="C10" s="46" t="s">
        <v>51</v>
      </c>
      <c r="D10" s="9"/>
      <c r="E10" s="9"/>
      <c r="G10" s="6"/>
      <c r="H10" s="6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>
      <c r="A11" s="13">
        <v>10</v>
      </c>
      <c r="B11" s="11" t="s">
        <v>13</v>
      </c>
      <c r="C11" s="46" t="s">
        <v>52</v>
      </c>
      <c r="D11" s="9"/>
      <c r="E11" s="9"/>
      <c r="G11" s="6"/>
      <c r="H11" s="6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>
      <c r="A12" s="13">
        <v>13</v>
      </c>
      <c r="B12" s="11" t="s">
        <v>33</v>
      </c>
      <c r="C12" s="46" t="s">
        <v>53</v>
      </c>
      <c r="D12" s="9"/>
      <c r="E12" s="9"/>
      <c r="G12" s="6"/>
      <c r="H12" s="6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>
      <c r="A13" s="14">
        <v>14</v>
      </c>
      <c r="B13" s="12" t="s">
        <v>40</v>
      </c>
      <c r="C13" s="46" t="s">
        <v>54</v>
      </c>
      <c r="D13" s="6"/>
      <c r="E13" s="6"/>
      <c r="F13" s="6"/>
      <c r="G13" s="6"/>
      <c r="H13" s="6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>
      <c r="A14" s="14">
        <v>15</v>
      </c>
      <c r="B14" s="12" t="s">
        <v>41</v>
      </c>
      <c r="C14" s="46" t="s">
        <v>55</v>
      </c>
      <c r="D14" s="6"/>
      <c r="E14" s="6"/>
      <c r="F14" s="6"/>
      <c r="G14" s="6"/>
      <c r="H14" s="6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>
      <c r="A15" s="14">
        <v>16</v>
      </c>
      <c r="B15" s="12" t="s">
        <v>42</v>
      </c>
      <c r="C15" s="46" t="s">
        <v>56</v>
      </c>
      <c r="D15" s="6"/>
      <c r="E15" s="6"/>
      <c r="F15" s="6"/>
      <c r="G15" s="6"/>
      <c r="H15" s="6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>
      <c r="A16" s="2">
        <v>17</v>
      </c>
      <c r="B16" s="2" t="s">
        <v>58</v>
      </c>
      <c r="C16" s="46" t="s">
        <v>59</v>
      </c>
      <c r="D16" s="6"/>
      <c r="E16" s="6"/>
      <c r="F16" s="6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1:20">
      <c r="A17" s="2">
        <v>18</v>
      </c>
      <c r="B17" s="2" t="s">
        <v>60</v>
      </c>
      <c r="C17" s="46" t="s">
        <v>61</v>
      </c>
      <c r="D17" s="6"/>
      <c r="E17" s="6"/>
      <c r="F17" s="6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1:20">
      <c r="A18" s="2"/>
      <c r="B18" s="2"/>
      <c r="C18" s="47"/>
      <c r="D18" s="6"/>
      <c r="E18" s="6"/>
      <c r="F18" s="6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1:20">
      <c r="A19" s="2"/>
      <c r="B19" s="2"/>
      <c r="C19" s="47"/>
      <c r="D19" s="6"/>
      <c r="E19" s="6"/>
      <c r="F19" s="6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1:20">
      <c r="A20" s="2"/>
      <c r="B20" s="2"/>
      <c r="C20" s="47"/>
      <c r="D20" s="6"/>
      <c r="E20" s="6"/>
      <c r="F20" s="6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>
      <c r="A21" s="2"/>
      <c r="B21" s="2"/>
      <c r="C21" s="47"/>
      <c r="D21" s="6"/>
      <c r="E21" s="6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1:20">
      <c r="A22" s="2"/>
      <c r="B22" s="2"/>
      <c r="C22" s="47"/>
      <c r="D22" s="6"/>
      <c r="E22" s="6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1:20">
      <c r="A23" s="2"/>
      <c r="B23" s="2"/>
      <c r="C23" s="47"/>
      <c r="D23" s="6"/>
      <c r="E23" s="6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0">
      <c r="A24" s="2"/>
      <c r="B24" s="2"/>
      <c r="C24" s="47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1:20">
      <c r="A25" s="2"/>
      <c r="B25" s="2"/>
      <c r="C25" s="47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1:20">
      <c r="A26" s="2"/>
      <c r="B26" s="2"/>
      <c r="C26" s="47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1:20">
      <c r="A27" s="2"/>
      <c r="B27" s="2"/>
      <c r="C27" s="47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1:20">
      <c r="A28" s="2"/>
      <c r="B28" s="2"/>
      <c r="C28" s="47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1:20">
      <c r="A29" s="2"/>
      <c r="B29" s="2"/>
      <c r="C29" s="47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1:20">
      <c r="A30" s="2"/>
      <c r="B30" s="2"/>
      <c r="C30" s="47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1:20">
      <c r="A31" s="2"/>
      <c r="B31" s="2"/>
      <c r="C31" s="47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1:20">
      <c r="A32" s="2"/>
      <c r="B32" s="2"/>
      <c r="C32" s="47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1:20">
      <c r="A33" s="2"/>
      <c r="B33" s="2"/>
      <c r="C33" s="47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1:20">
      <c r="A34" s="2"/>
      <c r="B34" s="2"/>
      <c r="C34" s="47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1:20">
      <c r="A35" s="2"/>
      <c r="B35" s="2"/>
      <c r="C35" s="47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1:20">
      <c r="A36" s="2"/>
      <c r="B36" s="2"/>
      <c r="C36" s="47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1:20">
      <c r="A37" s="2"/>
      <c r="B37" s="2"/>
      <c r="C37" s="47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1:20">
      <c r="A38" s="2"/>
      <c r="B38" s="2"/>
      <c r="C38" s="47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1:20">
      <c r="A39" s="2"/>
      <c r="B39" s="2"/>
      <c r="C39" s="47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1:20">
      <c r="A40" s="2"/>
      <c r="B40" s="2"/>
      <c r="C40" s="47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1:20">
      <c r="A41" s="2"/>
      <c r="B41" s="2"/>
      <c r="C41" s="47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1:20">
      <c r="A42" s="2"/>
      <c r="B42" s="2"/>
      <c r="C42" s="47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1:20">
      <c r="A43" s="2"/>
      <c r="B43" s="2"/>
      <c r="C43" s="47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1:20">
      <c r="A44" s="2"/>
      <c r="B44" s="2"/>
      <c r="C44" s="47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</row>
    <row r="45" spans="1:20">
      <c r="A45" s="2"/>
      <c r="B45" s="2"/>
      <c r="C45" s="47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</row>
    <row r="46" spans="1:20">
      <c r="A46" s="2"/>
      <c r="B46" s="2"/>
      <c r="C46" s="47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</row>
    <row r="47" spans="1:20">
      <c r="A47" s="2"/>
      <c r="B47" s="2"/>
      <c r="C47" s="47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</row>
    <row r="48" spans="1:20">
      <c r="A48" s="2"/>
      <c r="B48" s="2"/>
      <c r="C48" s="47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</row>
    <row r="49" spans="1:20">
      <c r="A49" s="2"/>
      <c r="B49" s="2"/>
      <c r="C49" s="47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</row>
    <row r="50" spans="1:20">
      <c r="A50" s="2"/>
      <c r="B50" s="2"/>
      <c r="C50" s="47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</row>
    <row r="51" spans="1:20">
      <c r="A51" s="2"/>
      <c r="B51" s="2"/>
      <c r="C51" s="47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</row>
    <row r="52" spans="1:20">
      <c r="A52" s="2"/>
      <c r="B52" s="2"/>
      <c r="C52" s="47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1:20">
      <c r="A53" s="2"/>
      <c r="B53" s="2"/>
      <c r="C53" s="47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1:20">
      <c r="A54" s="2"/>
      <c r="B54" s="2"/>
      <c r="C54" s="47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1:20">
      <c r="A55" s="2"/>
      <c r="B55" s="2"/>
      <c r="C55" s="47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1:20">
      <c r="A56" s="2"/>
      <c r="B56" s="2"/>
      <c r="C56" s="47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20">
      <c r="A57" s="2"/>
      <c r="B57" s="2"/>
      <c r="C57" s="47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20">
      <c r="A58" s="2"/>
      <c r="B58" s="2"/>
      <c r="C58" s="47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20">
      <c r="A59" s="2"/>
      <c r="B59" s="2"/>
      <c r="C59" s="47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20">
      <c r="A60" s="2"/>
      <c r="B60" s="2"/>
      <c r="C60" s="47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20">
      <c r="A61" s="2"/>
      <c r="B61" s="2"/>
      <c r="C61" s="47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0">
      <c r="A62" s="2"/>
      <c r="B62" s="2"/>
      <c r="C62" s="47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20">
      <c r="A63" s="2"/>
      <c r="B63" s="2"/>
      <c r="C63" s="47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20">
      <c r="A64" s="2"/>
      <c r="B64" s="2"/>
      <c r="C64" s="47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>
      <c r="A65" s="2"/>
      <c r="B65" s="2"/>
      <c r="C65" s="47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>
      <c r="A66" s="2"/>
      <c r="B66" s="2"/>
      <c r="C66" s="47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>
      <c r="A67" s="2"/>
      <c r="B67" s="2"/>
      <c r="C67" s="47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>
      <c r="A68" s="2"/>
      <c r="B68" s="2"/>
      <c r="C68" s="47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>
      <c r="A69" s="2"/>
      <c r="B69" s="2"/>
      <c r="C69" s="47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>
      <c r="A70" s="2"/>
      <c r="B70" s="2"/>
      <c r="C70" s="47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>
      <c r="A71" s="2"/>
      <c r="B71" s="2"/>
      <c r="C71" s="47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>
      <c r="A72" s="2"/>
      <c r="B72" s="2"/>
      <c r="C72" s="47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>
      <c r="A73" s="2"/>
      <c r="B73" s="2"/>
      <c r="C73" s="47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>
      <c r="A74" s="2"/>
      <c r="B74" s="2"/>
      <c r="C74" s="47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>
      <c r="A75" s="2"/>
      <c r="B75" s="2"/>
      <c r="C75" s="47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>
      <c r="A76" s="2"/>
      <c r="B76" s="2"/>
      <c r="C76" s="47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>
      <c r="A77" s="2"/>
      <c r="B77" s="2"/>
      <c r="C77" s="47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>
      <c r="A78" s="2"/>
      <c r="B78" s="2"/>
      <c r="C78" s="47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>
      <c r="A79" s="2"/>
      <c r="B79" s="2"/>
      <c r="C79" s="47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>
      <c r="A80" s="2"/>
      <c r="B80" s="2"/>
      <c r="C80" s="47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20">
      <c r="A81" s="2"/>
      <c r="B81" s="2"/>
      <c r="C81" s="47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20">
      <c r="A82" s="2"/>
      <c r="B82" s="2"/>
      <c r="C82" s="47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20">
      <c r="A83" s="2"/>
      <c r="B83" s="2"/>
      <c r="C83" s="47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20">
      <c r="A84" s="2"/>
      <c r="B84" s="2"/>
      <c r="C84" s="47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20">
      <c r="A85" s="2"/>
      <c r="B85" s="2"/>
      <c r="C85" s="47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20">
      <c r="A86" s="2"/>
      <c r="B86" s="2"/>
      <c r="C86" s="47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20">
      <c r="A87" s="2"/>
      <c r="B87" s="2"/>
      <c r="C87" s="47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</row>
    <row r="88" spans="1:20">
      <c r="A88" s="2"/>
      <c r="B88" s="2"/>
      <c r="C88" s="47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</row>
    <row r="89" spans="1:20">
      <c r="A89" s="2"/>
      <c r="B89" s="2"/>
      <c r="C89" s="47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</row>
    <row r="90" spans="1:20">
      <c r="A90" s="2"/>
      <c r="B90" s="2"/>
      <c r="C90" s="47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</row>
  </sheetData>
  <conditionalFormatting sqref="B13:M15 G2:M12">
    <cfRule type="expression" dxfId="5" priority="1">
      <formula>$M2="Pending"</formula>
    </cfRule>
    <cfRule type="expression" dxfId="4" priority="2">
      <formula>$M2="Yes"</formula>
    </cfRule>
    <cfRule type="expression" dxfId="3" priority="3">
      <formula>$M2="No"</formula>
    </cfRule>
  </conditionalFormatting>
  <hyperlinks>
    <hyperlink ref="C2" r:id="rId1" display="brettdreid@gmail.com " xr:uid="{46871427-6C22-4DC1-855C-1016F1C12F4D}"/>
    <hyperlink ref="C3" r:id="rId2" display="abbycurro@gmail.com  " xr:uid="{DF238FA0-0A06-48A0-9A4E-98C5CFBFA8A9}"/>
    <hyperlink ref="C4" r:id="rId3" display="rachelziemba@gmail.com " xr:uid="{170DAE7C-A8FC-48D1-B8AB-98332E729D5E}"/>
    <hyperlink ref="C5" r:id="rId4" display="austinreid@gmail.com " xr:uid="{E60520F0-AF09-450D-9EEE-FE66292E425E}"/>
    <hyperlink ref="C6" r:id="rId5" display="marissabrown@gmail.com " xr:uid="{00E9FC4E-872F-418B-982E-FFA3D542807D}"/>
    <hyperlink ref="C7" r:id="rId6" display="abbylord@gmail.com " xr:uid="{2D093456-9C2B-46BA-961A-2B2630B176AC}"/>
    <hyperlink ref="C8" r:id="rId7" display="alexryan@gmail.com " xr:uid="{24D3DC56-93D7-4D7D-84D0-02E0B977C03E}"/>
    <hyperlink ref="C9" r:id="rId8" display="brittneywright@gmail.com " xr:uid="{D5DF9E87-4820-4184-BF7E-A1C1A05D3541}"/>
    <hyperlink ref="C10" r:id="rId9" display="nicoleconcannon@gmail.com  " xr:uid="{35C70C46-A1DD-40F3-8863-D16A1B35305A}"/>
    <hyperlink ref="C11" r:id="rId10" display="paigehurley@gmail.com " xr:uid="{B84F3621-553B-4387-ACC5-093A531CC718}"/>
    <hyperlink ref="C12" r:id="rId11" display="willryan@gmail.com " xr:uid="{E9F0ED9B-F2A5-434E-8B3F-B45013577B16}"/>
    <hyperlink ref="C13" r:id="rId12" display="stevecurro@gmail.com " xr:uid="{B2C85743-5DB4-4928-95A4-7DDCAF054F12}"/>
    <hyperlink ref="C14" r:id="rId13" display="ellarose@gmail.com " xr:uid="{174283B4-42CB-4118-95D1-EC1A5377766D}"/>
    <hyperlink ref="C15" r:id="rId14" display="remibader@gmail.com " xr:uid="{C7EC4F11-8C11-451D-AF39-A347C262CE9D}"/>
    <hyperlink ref="C16" r:id="rId15" display="remibader@gmail.com#mailto:remibader@gmail.com# " xr:uid="{AFFBC25D-71D5-411D-B3A3-D965FEE2FC36}"/>
    <hyperlink ref="C17" r:id="rId16" display="ellieronan@gmail.com " xr:uid="{F9F74CD9-E2CC-46D7-8DD9-D4680A93BC39}"/>
  </hyperlinks>
  <pageMargins left="0.7" right="0.7" top="0.75" bottom="0.75" header="0.3" footer="0.3"/>
  <pageSetup paperSize="9" orientation="portrait" r:id="rId1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4E5E4-0D4D-4ECF-BF2B-F070E86B8754}">
  <sheetPr codeName="Sheet6"/>
  <dimension ref="A1"/>
  <sheetViews>
    <sheetView workbookViewId="0">
      <selection activeCell="I32" sqref="I32"/>
    </sheetView>
  </sheetViews>
  <sheetFormatPr defaultRowHeight="15.75"/>
  <cols>
    <col min="1" max="1" width="83.875" bestFit="1" customWidth="1"/>
  </cols>
  <sheetData>
    <row r="1" spans="1:1">
      <c r="A1" t="s">
        <v>57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E88366-631E-4049-BE9A-0A7771582E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28</vt:i4>
      </vt:variant>
    </vt:vector>
  </HeadingPairs>
  <TitlesOfParts>
    <vt:vector size="34" baseType="lpstr">
      <vt:lpstr>Booking Form</vt:lpstr>
      <vt:lpstr>New Guest Form</vt:lpstr>
      <vt:lpstr>Rooms</vt:lpstr>
      <vt:lpstr>Bookings</vt:lpstr>
      <vt:lpstr>Guests</vt:lpstr>
      <vt:lpstr>Database</vt:lpstr>
      <vt:lpstr>AllBookings</vt:lpstr>
      <vt:lpstr>BookingBID</vt:lpstr>
      <vt:lpstr>BookingBookingID</vt:lpstr>
      <vt:lpstr>BookingCheckInDate</vt:lpstr>
      <vt:lpstr>BookingCheckOutDate</vt:lpstr>
      <vt:lpstr>BookingGuestID</vt:lpstr>
      <vt:lpstr>BookingID</vt:lpstr>
      <vt:lpstr>BookingPaymentStatus</vt:lpstr>
      <vt:lpstr>BookingRoomID</vt:lpstr>
      <vt:lpstr>BookingsCID</vt:lpstr>
      <vt:lpstr>BookingsCOD</vt:lpstr>
      <vt:lpstr>BookingsGID</vt:lpstr>
      <vt:lpstr>BookingsPS</vt:lpstr>
      <vt:lpstr>BookingsRID</vt:lpstr>
      <vt:lpstr>BookingsTC</vt:lpstr>
      <vt:lpstr>BookingTotalCost</vt:lpstr>
      <vt:lpstr>Customers</vt:lpstr>
      <vt:lpstr>GuestEmail</vt:lpstr>
      <vt:lpstr>GuestID</vt:lpstr>
      <vt:lpstr>GuestName</vt:lpstr>
      <vt:lpstr>GuestPhone</vt:lpstr>
      <vt:lpstr>GuestsEmail</vt:lpstr>
      <vt:lpstr>GuestsGuestID</vt:lpstr>
      <vt:lpstr>GuestsGuestName</vt:lpstr>
      <vt:lpstr>Overview</vt:lpstr>
      <vt:lpstr>RoomsRatePerNight</vt:lpstr>
      <vt:lpstr>RoomsRoomID</vt:lpstr>
      <vt:lpstr>RoomsRoomType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Joy Curro</dc:creator>
  <cp:lastModifiedBy>Rebecca Joy Curro</cp:lastModifiedBy>
  <dcterms:created xsi:type="dcterms:W3CDTF">2024-12-10T20:23:48Z</dcterms:created>
  <dcterms:modified xsi:type="dcterms:W3CDTF">2025-01-19T14:30:39Z</dcterms:modified>
</cp:coreProperties>
</file>